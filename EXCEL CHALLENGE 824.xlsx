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demirci\Documents\"/>
    </mc:Choice>
  </mc:AlternateContent>
  <xr:revisionPtr revIDLastSave="0" documentId="8_{56D30DB2-134C-4CD3-BB09-25FF8BF306D5}" xr6:coauthVersionLast="47" xr6:coauthVersionMax="47" xr10:uidLastSave="{00000000-0000-0000-0000-000000000000}"/>
  <bookViews>
    <workbookView xWindow="-108" yWindow="-108" windowWidth="23256" windowHeight="12576" activeTab="2" xr2:uid="{8B901EE8-140B-449E-94B1-87DDF50F17E5}"/>
  </bookViews>
  <sheets>
    <sheet name="Sheet1" sheetId="1" r:id="rId1"/>
    <sheet name="Sheet1 (2)" sheetId="2" r:id="rId2"/>
    <sheet name="Sheet1 (3)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 a="1"/>
  <c r="D3" i="3" s="1"/>
  <c r="E3" i="3" s="1" a="1"/>
  <c r="E3" i="3" s="1"/>
  <c r="E18" i="2" a="1"/>
  <c r="E18" i="2" s="1"/>
  <c r="C3" i="2" a="1"/>
  <c r="C3" i="2" s="1"/>
  <c r="B18" i="2" s="1" a="1"/>
  <c r="B18" i="2" s="1"/>
  <c r="D3" i="2" a="1"/>
  <c r="D3" i="2" s="1"/>
  <c r="D3" i="1" a="1"/>
  <c r="D3" i="1" s="1"/>
  <c r="E3" i="1" s="1" a="1"/>
  <c r="E3" i="1" s="1"/>
  <c r="F3" i="1" s="1" a="1"/>
  <c r="F3" i="1" s="1"/>
  <c r="G3" i="3" l="1" a="1"/>
  <c r="G3" i="3" s="1"/>
  <c r="H3" i="3" a="1"/>
  <c r="H3" i="3" s="1"/>
  <c r="F3" i="3" a="1"/>
  <c r="F3" i="3" s="1"/>
  <c r="E3" i="2" a="1"/>
  <c r="E3" i="2" s="1"/>
  <c r="G3" i="2" a="1"/>
  <c r="G3" i="2" s="1"/>
  <c r="G3" i="1" a="1"/>
  <c r="G3" i="1" s="1"/>
  <c r="I3" i="1" s="1" a="1"/>
  <c r="I3" i="1" s="1"/>
  <c r="I3" i="3" l="1" a="1"/>
  <c r="I3" i="3" s="1"/>
  <c r="K10" i="3" a="1"/>
  <c r="K10" i="3" s="1"/>
  <c r="F3" i="2" a="1"/>
  <c r="F3" i="2" s="1"/>
  <c r="I3" i="2" s="1" a="1"/>
  <c r="I3" i="2" s="1"/>
  <c r="P3" i="1" a="1"/>
  <c r="P3" i="1" s="1"/>
  <c r="U3" i="1" s="1" a="1"/>
  <c r="U3" i="1" s="1"/>
  <c r="O3" i="1" a="1"/>
  <c r="O3" i="1" s="1"/>
  <c r="P3" i="3" l="1" a="1"/>
  <c r="P3" i="3" s="1"/>
  <c r="R3" i="3" s="1"/>
  <c r="O3" i="3" a="1"/>
  <c r="O3" i="3" s="1"/>
  <c r="J20" i="2" a="1"/>
  <c r="J20" i="2" s="1"/>
  <c r="M15" i="2" a="1"/>
  <c r="M15" i="2" s="1"/>
  <c r="K15" i="2" a="1"/>
  <c r="K15" i="2" s="1"/>
  <c r="P3" i="2" a="1"/>
  <c r="P3" i="2" s="1"/>
  <c r="R3" i="2" s="1"/>
  <c r="O3" i="2" a="1"/>
  <c r="O3" i="2" s="1"/>
  <c r="S8" i="1" a="1"/>
  <c r="S8" i="1" s="1"/>
  <c r="R3" i="1"/>
  <c r="Q8" i="1" a="1"/>
  <c r="Q8" i="1" s="1"/>
  <c r="U3" i="3" l="1" a="1"/>
  <c r="U3" i="3" s="1"/>
  <c r="S8" i="3" s="1" a="1"/>
  <c r="S8" i="3" s="1"/>
  <c r="Q8" i="3" a="1"/>
  <c r="Q8" i="3" s="1"/>
  <c r="U3" i="2" a="1"/>
  <c r="U3" i="2" s="1"/>
  <c r="N10" i="2" s="1" a="1"/>
  <c r="N10" i="2" s="1"/>
  <c r="Q8" i="2" a="1"/>
  <c r="Q8" i="2" s="1"/>
  <c r="S8" i="2" l="1" a="1"/>
  <c r="S8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<sst xmlns="http://schemas.openxmlformats.org/spreadsheetml/2006/main" count="24" uniqueCount="8">
  <si>
    <t>Answer Expected</t>
  </si>
  <si>
    <t>Dates</t>
  </si>
  <si>
    <t>Value</t>
  </si>
  <si>
    <t>Date Range</t>
  </si>
  <si>
    <t>Total</t>
  </si>
  <si>
    <t>2024-01-01 To 2024-01-03</t>
  </si>
  <si>
    <t>2024-01-06 To 2024-01-10</t>
  </si>
  <si>
    <t>2024-01-18 To 2024-01-21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</si>
</sst>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9D08E"/>
        <bgColor rgb="FF000000"/>
      </patternFill>
    </fill>
    <fill>
      <patternFill patternType="solid">
        <fgColor rgb="FFF8CBAD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3" borderId="0" xfId="0" applyFont="1" applyFill="1"/>
    <xf numFmtId="0" fontId="1" fillId="2" borderId="0" xfId="0" applyFont="1" applyFill="1"/>
    <xf numFmtId="14" fontId="0" fillId="0" borderId="0" xfId="0" applyNumberFormat="1"/>
    <xf numFmtId="14" fontId="2" fillId="0" borderId="0" xfId="0" applyNumberFormat="1" applyFont="1"/>
    <xf numFmtId="0" fontId="2" fillId="0" borderId="0" xfId="0" applyFont="1"/>
    <xf numFmtId="0" fontId="1" fillId="0" borderId="0" xfId="0" applyFont="1"/>
    <xf numFmtId="0" fontId="1" fillId="2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 applyAlignment="1"/>
    <xf numFmtId="0" fontId="0" fillId="0" borderId="0" xfId="0" quotePrefix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6A82693-672A-488A-A765-5A0601FE9FE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D0799-214E-4554-A119-4768CFA6AD89}">
  <dimension ref="A1:U15"/>
  <sheetViews>
    <sheetView workbookViewId="0">
      <selection activeCell="I3" sqref="I3"/>
    </sheetView>
  </sheetViews>
  <sheetFormatPr defaultRowHeight="14.4" x14ac:dyDescent="0.3"/>
  <cols>
    <col min="1" max="1" width="9.5546875" bestFit="1" customWidth="1"/>
    <col min="11" max="11" width="23" bestFit="1" customWidth="1"/>
    <col min="18" max="18" width="8.88671875" style="4"/>
  </cols>
  <sheetData>
    <row r="1" spans="1:21" x14ac:dyDescent="0.3">
      <c r="A1" s="1"/>
      <c r="B1" s="7"/>
      <c r="C1" s="7"/>
      <c r="D1" s="1"/>
      <c r="E1" s="1"/>
      <c r="F1" s="1"/>
      <c r="G1" s="1"/>
      <c r="H1" s="1"/>
      <c r="I1" s="1"/>
      <c r="J1" s="1"/>
      <c r="K1" s="8" t="s">
        <v>0</v>
      </c>
      <c r="L1" s="8"/>
    </row>
    <row r="2" spans="1:21" x14ac:dyDescent="0.3">
      <c r="A2" s="2" t="s">
        <v>1</v>
      </c>
      <c r="B2" s="9" t="s">
        <v>2</v>
      </c>
      <c r="C2" s="9"/>
      <c r="D2" s="2"/>
      <c r="E2" s="2"/>
      <c r="F2" s="2"/>
      <c r="G2" s="2"/>
      <c r="H2" s="2"/>
      <c r="I2" s="2"/>
      <c r="J2" s="2"/>
      <c r="K2" s="3" t="s">
        <v>3</v>
      </c>
      <c r="L2" s="3" t="s">
        <v>4</v>
      </c>
    </row>
    <row r="3" spans="1:21" x14ac:dyDescent="0.3">
      <c r="A3" s="5">
        <v>45292</v>
      </c>
      <c r="B3" s="10">
        <v>85</v>
      </c>
      <c r="C3" s="10"/>
      <c r="D3" s="6" t="b" cm="1">
        <f t="array" aca="1" ref="D3:D15" ca="1">A3:A15+1=OFFSET(A3:A15,1,)</f>
        <v>1</v>
      </c>
      <c r="E3" s="6" cm="1">
        <f t="array" aca="1" ref="E3:E15" ca="1">IF(_xlfn.ANCHORARRAY(D3),0,1)</f>
        <v>0</v>
      </c>
      <c r="F3" s="6" cm="1">
        <f t="array" aca="1" ref="F3:F15" ca="1">_xlfn.SCAN(0,_xlfn.ANCHORARRAY(E3),_xlfn.LAMBDA(_xlpm.a,_xlpm.b,_xlpm.a+_xlpm.b))</f>
        <v>0</v>
      </c>
      <c r="G3" s="6" cm="1">
        <f t="array" aca="1" ref="G3:G15" ca="1">IF(_xlfn.ANCHORARRAY(D3),1,0)</f>
        <v>1</v>
      </c>
      <c r="H3" s="6">
        <v>1</v>
      </c>
      <c r="I3" s="6" cm="1">
        <f t="array" aca="1" ref="I3:I15" ca="1">IF(_xlfn.ANCHORARRAY(G3)=0,_xlfn.ANCHORARRAY(F3),_xlfn.ANCHORARRAY(F3)+1)</f>
        <v>1</v>
      </c>
      <c r="J3" s="6"/>
      <c r="K3" s="6" t="s">
        <v>5</v>
      </c>
      <c r="L3" s="6">
        <v>186</v>
      </c>
      <c r="O3" cm="1">
        <f t="array" aca="1" ref="O3:O6" ca="1">_xlfn.UNIQUE(_xlfn.ANCHORARRAY(I3))</f>
        <v>1</v>
      </c>
      <c r="P3" cm="1">
        <f t="array" aca="1" ref="P3:Q6" ca="1">_xlfn.GROUPBY(_xlfn.ANCHORARRAY(I3),B3:B15,_xleta.SUM,,0)</f>
        <v>1</v>
      </c>
      <c r="Q3">
        <f ca="1"/>
        <v>186</v>
      </c>
      <c r="R3" s="4" t="str">
        <f ca="1">TEXT(_xlfn.MINIFS(A3:A15,_xlfn.ANCHORARRAY(I3),P3),"YYYY-MM-DD")&amp;" To "&amp;TEXT(_xlfn.MAXIFS(A3:A15,_xlfn.ANCHORARRAY(I3),P3),"yyyy-mm-dd")</f>
        <v>2024-01-01 To 2024-01-03</v>
      </c>
      <c r="U3" t="str" cm="1">
        <f t="array" aca="1" ref="U3:U6" ca="1">TEXT(_xlfn.MINIFS(A3:A15,_xlfn.ANCHORARRAY(I3),P3:P6),"YYYY-MM-DD")&amp;" To "&amp;TEXT(_xlfn.MAXIFS(A3:A15,_xlfn.ANCHORARRAY(I3),P3:P6),"yyyy-mm-dd")</f>
        <v>2024-01-01 To 2024-01-03</v>
      </c>
    </row>
    <row r="4" spans="1:21" x14ac:dyDescent="0.3">
      <c r="A4" s="5">
        <v>45293</v>
      </c>
      <c r="B4" s="10">
        <v>94</v>
      </c>
      <c r="C4" s="10"/>
      <c r="D4" s="6" t="b">
        <f ca="1"/>
        <v>1</v>
      </c>
      <c r="E4" s="6">
        <f ca="1"/>
        <v>0</v>
      </c>
      <c r="F4" s="6">
        <f ca="1"/>
        <v>0</v>
      </c>
      <c r="G4" s="6">
        <f ca="1"/>
        <v>1</v>
      </c>
      <c r="H4" s="6">
        <v>1</v>
      </c>
      <c r="I4" s="6">
        <f ca="1"/>
        <v>1</v>
      </c>
      <c r="J4" s="6"/>
      <c r="K4" s="6" t="s">
        <v>6</v>
      </c>
      <c r="L4" s="6">
        <v>319</v>
      </c>
      <c r="O4">
        <f ca="1"/>
        <v>2</v>
      </c>
      <c r="P4">
        <f ca="1"/>
        <v>2</v>
      </c>
      <c r="Q4">
        <f ca="1"/>
        <v>319</v>
      </c>
      <c r="U4" t="str">
        <f ca="1"/>
        <v>2024-01-06 To 2024-01-10</v>
      </c>
    </row>
    <row r="5" spans="1:21" x14ac:dyDescent="0.3">
      <c r="A5" s="5">
        <v>45294</v>
      </c>
      <c r="B5" s="10">
        <v>7</v>
      </c>
      <c r="C5" s="10"/>
      <c r="D5" s="6" t="b">
        <f ca="1"/>
        <v>0</v>
      </c>
      <c r="E5" s="6">
        <f ca="1"/>
        <v>1</v>
      </c>
      <c r="F5" s="6">
        <f ca="1"/>
        <v>1</v>
      </c>
      <c r="G5" s="6">
        <f ca="1"/>
        <v>0</v>
      </c>
      <c r="H5" s="6">
        <v>1</v>
      </c>
      <c r="I5" s="6">
        <f ca="1"/>
        <v>1</v>
      </c>
      <c r="J5" s="6"/>
      <c r="K5" s="5">
        <v>45305</v>
      </c>
      <c r="L5" s="6">
        <v>69</v>
      </c>
      <c r="O5">
        <f ca="1"/>
        <v>3</v>
      </c>
      <c r="P5">
        <f ca="1"/>
        <v>3</v>
      </c>
      <c r="Q5">
        <f ca="1"/>
        <v>69</v>
      </c>
      <c r="U5" t="str">
        <f ca="1"/>
        <v>2024-01-14 To 2024-01-14</v>
      </c>
    </row>
    <row r="6" spans="1:21" x14ac:dyDescent="0.3">
      <c r="A6" s="5">
        <v>45297</v>
      </c>
      <c r="B6" s="10">
        <v>52</v>
      </c>
      <c r="C6" s="10"/>
      <c r="D6" s="6" t="b">
        <f ca="1"/>
        <v>1</v>
      </c>
      <c r="E6" s="6">
        <f ca="1"/>
        <v>0</v>
      </c>
      <c r="F6" s="6">
        <f ca="1"/>
        <v>1</v>
      </c>
      <c r="G6" s="6">
        <f ca="1"/>
        <v>1</v>
      </c>
      <c r="H6" s="6">
        <v>2</v>
      </c>
      <c r="I6" s="6">
        <f ca="1"/>
        <v>2</v>
      </c>
      <c r="J6" s="6"/>
      <c r="K6" s="6" t="s">
        <v>7</v>
      </c>
      <c r="L6" s="6">
        <v>245</v>
      </c>
      <c r="O6">
        <f ca="1"/>
        <v>4</v>
      </c>
      <c r="P6">
        <f ca="1"/>
        <v>4</v>
      </c>
      <c r="Q6">
        <f ca="1"/>
        <v>245</v>
      </c>
      <c r="U6" t="str">
        <f ca="1"/>
        <v>2024-01-18 To 2024-01-21</v>
      </c>
    </row>
    <row r="7" spans="1:21" x14ac:dyDescent="0.3">
      <c r="A7" s="5">
        <v>45298</v>
      </c>
      <c r="B7" s="10">
        <v>67</v>
      </c>
      <c r="C7" s="10"/>
      <c r="D7" s="6" t="b">
        <f ca="1"/>
        <v>1</v>
      </c>
      <c r="E7" s="6">
        <f ca="1"/>
        <v>0</v>
      </c>
      <c r="F7" s="6">
        <f ca="1"/>
        <v>1</v>
      </c>
      <c r="G7" s="6">
        <f ca="1"/>
        <v>1</v>
      </c>
      <c r="H7" s="6">
        <v>2</v>
      </c>
      <c r="I7" s="6">
        <f ca="1"/>
        <v>2</v>
      </c>
      <c r="J7" s="6"/>
      <c r="K7" s="6"/>
      <c r="L7" s="6"/>
    </row>
    <row r="8" spans="1:21" x14ac:dyDescent="0.3">
      <c r="A8" s="5">
        <v>45299</v>
      </c>
      <c r="B8" s="10">
        <v>84</v>
      </c>
      <c r="C8" s="10"/>
      <c r="D8" s="6" t="b">
        <f ca="1"/>
        <v>1</v>
      </c>
      <c r="E8" s="6">
        <f ca="1"/>
        <v>0</v>
      </c>
      <c r="F8" s="6">
        <f ca="1"/>
        <v>1</v>
      </c>
      <c r="G8" s="6">
        <f ca="1"/>
        <v>1</v>
      </c>
      <c r="H8" s="6">
        <v>2</v>
      </c>
      <c r="I8" s="6">
        <f ca="1"/>
        <v>2</v>
      </c>
      <c r="J8" s="6"/>
      <c r="K8" s="6"/>
      <c r="L8" s="6"/>
      <c r="Q8" cm="1">
        <f t="array" aca="1" ref="Q8" ca="1">SUM(IF(_xlfn.UNIQUE(_xlfn.VSTACK(TEXT(_xlfn.MINIFS(A3:A15,_xlfn.ANCHORARRAY(I3),P3),"YYYY-MM-DD"),TEXT(_xlfn.MAXIFS(A3:A15,_xlfn.ANCHORARRAY(I3),P3),"yyyy-mm-dd")))&lt;&gt;"",1,0))</f>
        <v>2</v>
      </c>
      <c r="S8" s="11" t="str" cm="1">
        <f t="array" aca="1" ref="S8:S11" ca="1">IF(_xlfn.MAP(P3:P6,_xlfn.LAMBDA(_xlpm.i,_xlfn.LET(_xlpm.x,_xlfn.ANCHORARRAY(I3),_xlpm.y,_xlpm.i,_xlpm.z,A3:A15,SUM(IF(_xlfn.UNIQUE(_xlfn.VSTACK(TEXT(_xlfn.MINIFS(_xlpm.z,_xlpm.x,_xlpm.y),"YYYY-MM-DD"),TEXT(_xlfn.MAXIFS(_xlpm.z,_xlpm.x,_xlpm.y),"yyyy-mm-dd")))&lt;&gt;"",1,0)))))&gt;1,_xlfn.ANCHORARRAY(U3),TEXT(_xlfn.MAXIFS(A3:A15,_xlfn.ANCHORARRAY(I3),P3:P6),"yyyy-mm-dd"))</f>
        <v>2024-01-01 To 2024-01-03</v>
      </c>
    </row>
    <row r="9" spans="1:21" x14ac:dyDescent="0.3">
      <c r="A9" s="5">
        <v>45300</v>
      </c>
      <c r="B9" s="10">
        <v>49</v>
      </c>
      <c r="C9" s="10"/>
      <c r="D9" s="6" t="b">
        <f ca="1"/>
        <v>1</v>
      </c>
      <c r="E9" s="6">
        <f ca="1"/>
        <v>0</v>
      </c>
      <c r="F9" s="6">
        <f ca="1"/>
        <v>1</v>
      </c>
      <c r="G9" s="6">
        <f ca="1"/>
        <v>1</v>
      </c>
      <c r="H9" s="6">
        <v>2</v>
      </c>
      <c r="I9" s="6">
        <f ca="1"/>
        <v>2</v>
      </c>
      <c r="J9" s="6"/>
      <c r="K9" s="6"/>
      <c r="L9" s="6"/>
      <c r="S9" t="str">
        <f ca="1"/>
        <v>2024-01-06 To 2024-01-10</v>
      </c>
    </row>
    <row r="10" spans="1:21" x14ac:dyDescent="0.3">
      <c r="A10" s="5">
        <v>45301</v>
      </c>
      <c r="B10" s="10">
        <v>67</v>
      </c>
      <c r="C10" s="10"/>
      <c r="D10" s="6" t="b">
        <f ca="1"/>
        <v>0</v>
      </c>
      <c r="E10" s="6">
        <f ca="1"/>
        <v>1</v>
      </c>
      <c r="F10" s="6">
        <f ca="1"/>
        <v>2</v>
      </c>
      <c r="G10" s="6">
        <f ca="1"/>
        <v>0</v>
      </c>
      <c r="H10" s="6">
        <v>2</v>
      </c>
      <c r="I10" s="6">
        <f ca="1"/>
        <v>2</v>
      </c>
      <c r="J10" s="6"/>
      <c r="K10" s="6"/>
      <c r="L10" s="6"/>
      <c r="S10" t="str">
        <f ca="1"/>
        <v>2024-01-14</v>
      </c>
    </row>
    <row r="11" spans="1:21" x14ac:dyDescent="0.3">
      <c r="A11" s="5">
        <v>45305</v>
      </c>
      <c r="B11" s="10">
        <v>69</v>
      </c>
      <c r="C11" s="10"/>
      <c r="D11" s="6" t="b">
        <f ca="1"/>
        <v>0</v>
      </c>
      <c r="E11" s="6">
        <f ca="1"/>
        <v>1</v>
      </c>
      <c r="F11" s="6">
        <f ca="1"/>
        <v>3</v>
      </c>
      <c r="G11" s="6">
        <f ca="1"/>
        <v>0</v>
      </c>
      <c r="H11" s="6">
        <v>3</v>
      </c>
      <c r="I11" s="6">
        <f ca="1"/>
        <v>3</v>
      </c>
      <c r="J11" s="6"/>
      <c r="K11" s="6"/>
      <c r="L11" s="6"/>
      <c r="S11" t="str">
        <f ca="1"/>
        <v>2024-01-18 To 2024-01-21</v>
      </c>
    </row>
    <row r="12" spans="1:21" x14ac:dyDescent="0.3">
      <c r="A12" s="5">
        <v>45309</v>
      </c>
      <c r="B12" s="10">
        <v>59</v>
      </c>
      <c r="C12" s="10"/>
      <c r="D12" s="6" t="b">
        <f ca="1"/>
        <v>1</v>
      </c>
      <c r="E12" s="6">
        <f ca="1"/>
        <v>0</v>
      </c>
      <c r="F12" s="6">
        <f ca="1"/>
        <v>3</v>
      </c>
      <c r="G12" s="6">
        <f ca="1"/>
        <v>1</v>
      </c>
      <c r="H12" s="6">
        <v>4</v>
      </c>
      <c r="I12" s="6">
        <f ca="1"/>
        <v>4</v>
      </c>
      <c r="J12" s="6"/>
      <c r="K12" s="6"/>
      <c r="L12" s="6"/>
    </row>
    <row r="13" spans="1:21" x14ac:dyDescent="0.3">
      <c r="A13" s="5">
        <v>45310</v>
      </c>
      <c r="B13" s="10">
        <v>76</v>
      </c>
      <c r="C13" s="10"/>
      <c r="D13" s="6" t="b">
        <f ca="1"/>
        <v>1</v>
      </c>
      <c r="E13" s="6">
        <f ca="1"/>
        <v>0</v>
      </c>
      <c r="F13" s="6">
        <f ca="1"/>
        <v>3</v>
      </c>
      <c r="G13" s="6">
        <f ca="1"/>
        <v>1</v>
      </c>
      <c r="H13" s="6">
        <v>4</v>
      </c>
      <c r="I13" s="6">
        <f ca="1"/>
        <v>4</v>
      </c>
      <c r="J13" s="6"/>
      <c r="K13" s="6"/>
      <c r="L13" s="6"/>
    </row>
    <row r="14" spans="1:21" x14ac:dyDescent="0.3">
      <c r="A14" s="5">
        <v>45311</v>
      </c>
      <c r="B14" s="10">
        <v>32</v>
      </c>
      <c r="C14" s="10"/>
      <c r="D14" s="6" t="b">
        <f ca="1"/>
        <v>1</v>
      </c>
      <c r="E14" s="6">
        <f ca="1"/>
        <v>0</v>
      </c>
      <c r="F14" s="6">
        <f ca="1"/>
        <v>3</v>
      </c>
      <c r="G14" s="6">
        <f ca="1"/>
        <v>1</v>
      </c>
      <c r="H14" s="6">
        <v>4</v>
      </c>
      <c r="I14" s="6">
        <f ca="1"/>
        <v>4</v>
      </c>
      <c r="J14" s="6"/>
      <c r="K14" s="6"/>
      <c r="L14" s="6"/>
    </row>
    <row r="15" spans="1:21" x14ac:dyDescent="0.3">
      <c r="A15" s="5">
        <v>45312</v>
      </c>
      <c r="B15" s="10">
        <v>78</v>
      </c>
      <c r="C15" s="10"/>
      <c r="D15" s="6" t="b">
        <f ca="1"/>
        <v>0</v>
      </c>
      <c r="E15" s="6">
        <f ca="1"/>
        <v>1</v>
      </c>
      <c r="F15" s="6">
        <f ca="1"/>
        <v>4</v>
      </c>
      <c r="G15" s="6">
        <f ca="1"/>
        <v>0</v>
      </c>
      <c r="H15" s="6">
        <v>4</v>
      </c>
      <c r="I15" s="6">
        <f ca="1"/>
        <v>4</v>
      </c>
      <c r="J15" s="6"/>
      <c r="K15" s="6"/>
      <c r="L15" s="6"/>
    </row>
  </sheetData>
  <mergeCells count="3">
    <mergeCell ref="B1:C1"/>
    <mergeCell ref="K1:L1"/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F98FD-3ED2-40CD-8D6F-BDA6AA4B14DE}">
  <dimension ref="A1:U24"/>
  <sheetViews>
    <sheetView workbookViewId="0">
      <selection activeCell="C3" sqref="C3"/>
    </sheetView>
  </sheetViews>
  <sheetFormatPr defaultRowHeight="14.4" x14ac:dyDescent="0.3"/>
  <cols>
    <col min="1" max="1" width="9.5546875" bestFit="1" customWidth="1"/>
    <col min="2" max="2" width="22.21875" customWidth="1"/>
    <col min="5" max="5" width="16.44140625" customWidth="1"/>
    <col min="7" max="7" width="25.6640625" customWidth="1"/>
    <col min="11" max="11" width="23" bestFit="1" customWidth="1"/>
    <col min="18" max="18" width="8.88671875" style="4"/>
  </cols>
  <sheetData>
    <row r="1" spans="1:21" x14ac:dyDescent="0.3">
      <c r="A1" s="1"/>
      <c r="B1" s="7"/>
      <c r="C1" s="7"/>
      <c r="D1" s="1"/>
      <c r="E1" s="1"/>
      <c r="F1" s="1"/>
      <c r="G1" s="1"/>
      <c r="H1" s="1"/>
      <c r="I1" s="1"/>
      <c r="J1" s="1"/>
      <c r="K1" s="8" t="s">
        <v>0</v>
      </c>
      <c r="L1" s="8"/>
    </row>
    <row r="2" spans="1:21" x14ac:dyDescent="0.3">
      <c r="A2" s="2" t="s">
        <v>1</v>
      </c>
      <c r="B2" s="9" t="s">
        <v>2</v>
      </c>
      <c r="C2" s="9"/>
      <c r="D2" s="2"/>
      <c r="E2" s="2"/>
      <c r="F2" s="2"/>
      <c r="G2" s="2"/>
      <c r="H2" s="2"/>
      <c r="I2" s="2"/>
      <c r="J2" s="2"/>
      <c r="K2" s="3" t="s">
        <v>3</v>
      </c>
      <c r="L2" s="3" t="s">
        <v>4</v>
      </c>
    </row>
    <row r="3" spans="1:21" x14ac:dyDescent="0.3">
      <c r="A3" s="5">
        <v>45292</v>
      </c>
      <c r="B3" s="10">
        <v>85</v>
      </c>
      <c r="C3" cm="1">
        <f t="array" aca="1" ref="C3:C15" ca="1">_xlfn.LET(_xlpm.d,A3:A15,_xlpm.c,_xlpm.d+1=OFFSET(_xlpm.d,1,),_xlfn.LET(_xlpm.p,_xlfn.SCAN(0,IF(_xlpm.c,0,1),_xlfn.LAMBDA(_xlpm.a,_xlpm.b,_xlpm.a+_xlpm.b)),IF(IF(_xlpm.c,1,0)=0,_xlpm.p,_xlpm.p+1)))</f>
        <v>1</v>
      </c>
      <c r="D3" s="6" t="b" cm="1">
        <f t="array" aca="1" ref="D3:D15" ca="1">A3:A15+1=OFFSET(A3:A15,1,)</f>
        <v>1</v>
      </c>
      <c r="E3" s="6" cm="1">
        <f t="array" aca="1" ref="E3:E15" ca="1">IF(_xlfn.ANCHORARRAY(D3),0,1)</f>
        <v>0</v>
      </c>
      <c r="F3" s="6" cm="1">
        <f t="array" aca="1" ref="F3:F15" ca="1">_xlfn.SCAN(0,_xlfn.ANCHORARRAY(E3),_xlfn.LAMBDA(_xlpm.a,_xlpm.b,_xlpm.a+_xlpm.b))</f>
        <v>0</v>
      </c>
      <c r="G3" s="6" cm="1">
        <f t="array" aca="1" ref="G3:G15" ca="1">IF(_xlfn.ANCHORARRAY(D3),1,0)</f>
        <v>1</v>
      </c>
      <c r="H3" s="6">
        <v>1</v>
      </c>
      <c r="I3" s="6" cm="1">
        <f t="array" aca="1" ref="I3:I15" ca="1">IF(_xlfn.ANCHORARRAY(G3)=0,_xlfn.ANCHORARRAY(F3),_xlfn.ANCHORARRAY(F3)+1)</f>
        <v>1</v>
      </c>
      <c r="J3" s="6"/>
      <c r="K3" s="6" t="s">
        <v>5</v>
      </c>
      <c r="L3" s="6">
        <v>186</v>
      </c>
      <c r="O3" cm="1">
        <f t="array" aca="1" ref="O3:O7" ca="1">_xlfn.UNIQUE(_xlfn.ANCHORARRAY(I3))</f>
        <v>1</v>
      </c>
      <c r="P3" cm="1">
        <f t="array" aca="1" ref="P3:Q7" ca="1">_xlfn.GROUPBY(_xlfn.ANCHORARRAY(I3),B3:B15,_xleta.SUM,,0)</f>
        <v>1</v>
      </c>
      <c r="Q3">
        <f ca="1"/>
        <v>238</v>
      </c>
      <c r="R3" s="4" t="str">
        <f ca="1">TEXT(_xlfn.MINIFS(A3:A15,_xlfn.ANCHORARRAY(I3),P3),"YYYY-MM-DD")&amp;" To "&amp;TEXT(_xlfn.MAXIFS(A3:A15,_xlfn.ANCHORARRAY(I3),P3),"yyyy-mm-dd")</f>
        <v>2024-01-01 To 2024-01-04</v>
      </c>
      <c r="U3" t="str" cm="1">
        <f t="array" aca="1" ref="U3:U6" ca="1">TEXT(_xlfn.MINIFS(A3:A15,_xlfn.ANCHORARRAY(I3),P3:P6),"YYYY-MM-DD")&amp;" To "&amp;TEXT(_xlfn.MAXIFS(A3:A15,_xlfn.ANCHORARRAY(I3),P3:P6),"yyyy-mm-dd")</f>
        <v>2024-01-01 To 2024-01-04</v>
      </c>
    </row>
    <row r="4" spans="1:21" x14ac:dyDescent="0.3">
      <c r="A4" s="5">
        <v>45293</v>
      </c>
      <c r="B4" s="10">
        <v>94</v>
      </c>
      <c r="C4" s="10">
        <f ca="1"/>
        <v>1</v>
      </c>
      <c r="D4" s="6" t="b">
        <f ca="1"/>
        <v>1</v>
      </c>
      <c r="E4" s="6">
        <f ca="1"/>
        <v>0</v>
      </c>
      <c r="F4" s="6">
        <f ca="1"/>
        <v>0</v>
      </c>
      <c r="G4" s="6">
        <f ca="1"/>
        <v>1</v>
      </c>
      <c r="H4" s="6">
        <v>1</v>
      </c>
      <c r="I4" s="6">
        <f ca="1"/>
        <v>1</v>
      </c>
      <c r="J4" s="6"/>
      <c r="K4" s="6" t="s">
        <v>6</v>
      </c>
      <c r="L4" s="6">
        <v>319</v>
      </c>
      <c r="O4">
        <f ca="1"/>
        <v>2</v>
      </c>
      <c r="P4">
        <f ca="1"/>
        <v>2</v>
      </c>
      <c r="Q4">
        <f ca="1"/>
        <v>200</v>
      </c>
      <c r="U4" t="str">
        <f ca="1"/>
        <v>2024-01-07 To 2024-01-09</v>
      </c>
    </row>
    <row r="5" spans="1:21" x14ac:dyDescent="0.3">
      <c r="A5" s="5">
        <v>45294</v>
      </c>
      <c r="B5" s="10">
        <v>7</v>
      </c>
      <c r="C5" s="10">
        <f ca="1"/>
        <v>1</v>
      </c>
      <c r="D5" s="6" t="b">
        <f ca="1"/>
        <v>1</v>
      </c>
      <c r="E5" s="6">
        <f ca="1"/>
        <v>0</v>
      </c>
      <c r="F5" s="6">
        <f ca="1"/>
        <v>0</v>
      </c>
      <c r="G5" s="6">
        <f ca="1"/>
        <v>1</v>
      </c>
      <c r="H5" s="6">
        <v>1</v>
      </c>
      <c r="I5" s="6">
        <f ca="1"/>
        <v>1</v>
      </c>
      <c r="J5" s="6"/>
      <c r="K5" s="5">
        <v>45305</v>
      </c>
      <c r="L5" s="6">
        <v>69</v>
      </c>
      <c r="O5">
        <f ca="1"/>
        <v>3</v>
      </c>
      <c r="P5">
        <f ca="1"/>
        <v>3</v>
      </c>
      <c r="Q5">
        <f ca="1"/>
        <v>136</v>
      </c>
      <c r="U5" t="str">
        <f ca="1"/>
        <v>2024-01-13 To 2024-01-14</v>
      </c>
    </row>
    <row r="6" spans="1:21" x14ac:dyDescent="0.3">
      <c r="A6" s="5">
        <v>45295</v>
      </c>
      <c r="B6" s="10">
        <v>52</v>
      </c>
      <c r="C6" s="10">
        <f ca="1"/>
        <v>1</v>
      </c>
      <c r="D6" s="6" t="b">
        <f ca="1"/>
        <v>0</v>
      </c>
      <c r="E6" s="6">
        <f ca="1"/>
        <v>1</v>
      </c>
      <c r="F6" s="6">
        <f ca="1"/>
        <v>1</v>
      </c>
      <c r="G6" s="6">
        <f ca="1"/>
        <v>0</v>
      </c>
      <c r="H6" s="6">
        <v>2</v>
      </c>
      <c r="I6" s="6">
        <f ca="1"/>
        <v>1</v>
      </c>
      <c r="J6" s="6"/>
      <c r="K6" s="6" t="s">
        <v>7</v>
      </c>
      <c r="L6" s="6">
        <v>245</v>
      </c>
      <c r="O6">
        <f ca="1"/>
        <v>4</v>
      </c>
      <c r="P6">
        <f ca="1"/>
        <v>4</v>
      </c>
      <c r="Q6">
        <f ca="1"/>
        <v>59</v>
      </c>
      <c r="U6" t="str">
        <f ca="1"/>
        <v>2024-01-17 To 2024-01-17</v>
      </c>
    </row>
    <row r="7" spans="1:21" x14ac:dyDescent="0.3">
      <c r="A7" s="5">
        <v>45298</v>
      </c>
      <c r="B7" s="10">
        <v>67</v>
      </c>
      <c r="C7" s="10">
        <f ca="1"/>
        <v>2</v>
      </c>
      <c r="D7" s="6" t="b">
        <f ca="1"/>
        <v>1</v>
      </c>
      <c r="E7" s="6">
        <f ca="1"/>
        <v>0</v>
      </c>
      <c r="F7" s="6">
        <f ca="1"/>
        <v>1</v>
      </c>
      <c r="G7" s="6">
        <f ca="1"/>
        <v>1</v>
      </c>
      <c r="H7" s="6">
        <v>2</v>
      </c>
      <c r="I7" s="6">
        <f ca="1"/>
        <v>2</v>
      </c>
      <c r="J7" s="6"/>
      <c r="K7" s="6"/>
      <c r="L7" s="6"/>
      <c r="O7">
        <f ca="1"/>
        <v>5</v>
      </c>
      <c r="P7">
        <f ca="1"/>
        <v>5</v>
      </c>
      <c r="Q7">
        <f ca="1"/>
        <v>186</v>
      </c>
    </row>
    <row r="8" spans="1:21" x14ac:dyDescent="0.3">
      <c r="A8" s="5">
        <v>45299</v>
      </c>
      <c r="B8" s="10">
        <v>84</v>
      </c>
      <c r="C8" s="10">
        <f ca="1"/>
        <v>2</v>
      </c>
      <c r="D8" s="6" t="b">
        <f ca="1"/>
        <v>1</v>
      </c>
      <c r="E8" s="6">
        <f ca="1"/>
        <v>0</v>
      </c>
      <c r="F8" s="6">
        <f ca="1"/>
        <v>1</v>
      </c>
      <c r="G8" s="6">
        <f ca="1"/>
        <v>1</v>
      </c>
      <c r="H8" s="6">
        <v>2</v>
      </c>
      <c r="I8" s="6">
        <f ca="1"/>
        <v>2</v>
      </c>
      <c r="J8" s="6"/>
      <c r="K8" s="6"/>
      <c r="L8" s="6"/>
      <c r="Q8" cm="1">
        <f t="array" aca="1" ref="Q8" ca="1">SUM(IF(_xlfn.UNIQUE(_xlfn.VSTACK(TEXT(_xlfn.MINIFS(A3:A15,_xlfn.ANCHORARRAY(I3),P3),"YYYY-MM-DD"),TEXT(_xlfn.MAXIFS(A3:A15,_xlfn.ANCHORARRAY(I3),P3),"yyyy-mm-dd")))&lt;&gt;"",1,0))</f>
        <v>2</v>
      </c>
      <c r="S8" s="11" t="str" cm="1">
        <f t="array" aca="1" ref="S8:S11" ca="1">IF(_xlfn.MAP(P3:P6,_xlfn.LAMBDA(_xlpm.i,_xlfn.LET(_xlpm.x,_xlfn.ANCHORARRAY(I3),_xlpm.y,_xlpm.i,_xlpm.z,A3:A15,SUM(IF(_xlfn.UNIQUE(_xlfn.VSTACK(TEXT(_xlfn.MINIFS(_xlpm.z,_xlpm.x,_xlpm.y),"YYYY-MM-DD"),TEXT(_xlfn.MAXIFS(_xlpm.z,_xlpm.x,_xlpm.y),"yyyy-mm-dd")))&lt;&gt;"",1,0)))))&gt;1,_xlfn.ANCHORARRAY(U3),TEXT(_xlfn.MAXIFS(A3:A15,_xlfn.ANCHORARRAY(I3),P3:P6),"yyyy-mm-dd"))</f>
        <v>2024-01-01 To 2024-01-04</v>
      </c>
    </row>
    <row r="9" spans="1:21" x14ac:dyDescent="0.3">
      <c r="A9" s="5">
        <v>45300</v>
      </c>
      <c r="B9" s="10">
        <v>49</v>
      </c>
      <c r="C9" s="10">
        <f ca="1"/>
        <v>2</v>
      </c>
      <c r="D9" s="6" t="b">
        <f ca="1"/>
        <v>0</v>
      </c>
      <c r="E9" s="6">
        <f ca="1"/>
        <v>1</v>
      </c>
      <c r="F9" s="6">
        <f ca="1"/>
        <v>2</v>
      </c>
      <c r="G9" s="6">
        <f ca="1"/>
        <v>0</v>
      </c>
      <c r="H9" s="6">
        <v>2</v>
      </c>
      <c r="I9" s="6">
        <f ca="1"/>
        <v>2</v>
      </c>
      <c r="J9" s="6"/>
      <c r="K9" s="6"/>
      <c r="L9" s="6"/>
      <c r="S9" t="str">
        <f ca="1"/>
        <v>2024-01-07 To 2024-01-09</v>
      </c>
    </row>
    <row r="10" spans="1:21" x14ac:dyDescent="0.3">
      <c r="A10" s="5">
        <v>45304</v>
      </c>
      <c r="B10" s="10">
        <v>67</v>
      </c>
      <c r="C10" s="10">
        <f ca="1"/>
        <v>3</v>
      </c>
      <c r="D10" s="6" t="b">
        <f ca="1"/>
        <v>1</v>
      </c>
      <c r="E10" s="6">
        <f ca="1"/>
        <v>0</v>
      </c>
      <c r="F10" s="6">
        <f ca="1"/>
        <v>2</v>
      </c>
      <c r="G10" s="6">
        <f ca="1"/>
        <v>1</v>
      </c>
      <c r="H10" s="6">
        <v>2</v>
      </c>
      <c r="I10" s="6">
        <f ca="1"/>
        <v>3</v>
      </c>
      <c r="J10" s="6"/>
      <c r="K10" s="6"/>
      <c r="L10" s="6"/>
      <c r="N10" t="str" cm="1">
        <f t="array" aca="1" ref="N10:N13" ca="1">_xlfn.LET(_xlpm.x,_xlfn.ANCHORARRAY(I3),_xlpm.z,A3:A15,IF(_xlfn.MAP(P3:P6,_xlfn.LAMBDA(_xlpm.i,SUM(IF(_xlfn.UNIQUE(_xlfn.VSTACK(TEXT(_xlfn.MINIFS(_xlpm.z,_xlpm.x,_xlpm.i),"YYYY-MM-DD"),TEXT(_xlfn.MAXIFS(_xlpm.z,_xlpm.x,y),"yyyy-mm-dd")))&lt;&gt;"",1,0))))&gt;1,_xlfn.ANCHORARRAY(U3),TEXT(_xlfn.MAXIFS(A3:A15,_xlpm.x,P3:P6),"yyyy-mm-dd")))</f>
        <v>2024-01-01 To 2024-01-04</v>
      </c>
      <c r="S10" t="str">
        <f ca="1"/>
        <v>2024-01-13 To 2024-01-14</v>
      </c>
    </row>
    <row r="11" spans="1:21" x14ac:dyDescent="0.3">
      <c r="A11" s="5">
        <v>45305</v>
      </c>
      <c r="B11" s="10">
        <v>69</v>
      </c>
      <c r="C11" s="10">
        <f ca="1"/>
        <v>3</v>
      </c>
      <c r="D11" s="6" t="b">
        <f ca="1"/>
        <v>0</v>
      </c>
      <c r="E11" s="6">
        <f ca="1"/>
        <v>1</v>
      </c>
      <c r="F11" s="6">
        <f ca="1"/>
        <v>3</v>
      </c>
      <c r="G11" s="6">
        <f ca="1"/>
        <v>0</v>
      </c>
      <c r="H11" s="6">
        <v>3</v>
      </c>
      <c r="I11" s="6">
        <f ca="1"/>
        <v>3</v>
      </c>
      <c r="J11" s="6"/>
      <c r="K11" s="6"/>
      <c r="L11" s="6"/>
      <c r="N11" t="str">
        <f ca="1"/>
        <v>2024-01-07 To 2024-01-09</v>
      </c>
      <c r="S11" t="str">
        <f ca="1"/>
        <v>2024-01-17</v>
      </c>
    </row>
    <row r="12" spans="1:21" x14ac:dyDescent="0.3">
      <c r="A12" s="5">
        <v>45308</v>
      </c>
      <c r="B12" s="10">
        <v>59</v>
      </c>
      <c r="C12" s="10">
        <f ca="1"/>
        <v>4</v>
      </c>
      <c r="D12" s="6" t="b">
        <f ca="1"/>
        <v>0</v>
      </c>
      <c r="E12" s="6">
        <f ca="1"/>
        <v>1</v>
      </c>
      <c r="F12" s="6">
        <f ca="1"/>
        <v>4</v>
      </c>
      <c r="G12" s="6">
        <f ca="1"/>
        <v>0</v>
      </c>
      <c r="H12" s="6">
        <v>4</v>
      </c>
      <c r="I12" s="6">
        <f ca="1"/>
        <v>4</v>
      </c>
      <c r="J12" s="6"/>
      <c r="K12" s="6"/>
      <c r="L12" s="6"/>
      <c r="N12" t="str">
        <f ca="1"/>
        <v>2024-01-13 To 2024-01-14</v>
      </c>
    </row>
    <row r="13" spans="1:21" x14ac:dyDescent="0.3">
      <c r="A13" s="5">
        <v>45310</v>
      </c>
      <c r="B13" s="10">
        <v>76</v>
      </c>
      <c r="C13" s="10">
        <f ca="1"/>
        <v>5</v>
      </c>
      <c r="D13" s="6" t="b">
        <f ca="1"/>
        <v>1</v>
      </c>
      <c r="E13" s="6">
        <f ca="1"/>
        <v>0</v>
      </c>
      <c r="F13" s="6">
        <f ca="1"/>
        <v>4</v>
      </c>
      <c r="G13" s="6">
        <f ca="1"/>
        <v>1</v>
      </c>
      <c r="H13" s="6">
        <v>4</v>
      </c>
      <c r="I13" s="6">
        <f ca="1"/>
        <v>5</v>
      </c>
      <c r="J13" s="6"/>
      <c r="K13" s="6"/>
      <c r="L13" s="6"/>
      <c r="N13" t="str">
        <f ca="1"/>
        <v>2024-01-17 To 2024-01-17</v>
      </c>
    </row>
    <row r="14" spans="1:21" x14ac:dyDescent="0.3">
      <c r="A14" s="5">
        <v>45311</v>
      </c>
      <c r="B14" s="10">
        <v>32</v>
      </c>
      <c r="C14" s="10">
        <f ca="1"/>
        <v>5</v>
      </c>
      <c r="D14" s="6" t="b">
        <f ca="1"/>
        <v>1</v>
      </c>
      <c r="E14" s="6">
        <f ca="1"/>
        <v>0</v>
      </c>
      <c r="F14" s="6">
        <f ca="1"/>
        <v>4</v>
      </c>
      <c r="G14" s="6">
        <f ca="1"/>
        <v>1</v>
      </c>
      <c r="H14" s="6">
        <v>4</v>
      </c>
      <c r="I14" s="6">
        <f ca="1"/>
        <v>5</v>
      </c>
      <c r="J14" s="6"/>
      <c r="K14" s="6"/>
      <c r="L14" s="6"/>
    </row>
    <row r="15" spans="1:21" x14ac:dyDescent="0.3">
      <c r="A15" s="5">
        <v>45312</v>
      </c>
      <c r="B15" s="10">
        <v>78</v>
      </c>
      <c r="C15" s="10">
        <f ca="1"/>
        <v>5</v>
      </c>
      <c r="D15" s="6" t="b">
        <f ca="1"/>
        <v>0</v>
      </c>
      <c r="E15" s="6">
        <f ca="1"/>
        <v>1</v>
      </c>
      <c r="F15" s="6">
        <f ca="1"/>
        <v>5</v>
      </c>
      <c r="G15" s="6">
        <f ca="1"/>
        <v>0</v>
      </c>
      <c r="H15" s="6">
        <v>4</v>
      </c>
      <c r="I15" s="6">
        <f ca="1"/>
        <v>5</v>
      </c>
      <c r="J15" s="6"/>
      <c r="K15" s="6" t="str" cm="1">
        <f t="array" aca="1" ref="K15:K19" ca="1">_xlfn.LET(_xlpm.k,"yyyy-mm-dd",_xlpm.x,_xlfn.ANCHORARRAY(I3),_xlpm.j,_xlfn.UNIQUE(_xlpm.x),_xlpm.z,A3:A15,(IF(_xlfn.MAP(_xlpm.j,_xlfn.LAMBDA(_xlpm.i,_xlfn.LET(_xlpm.y,_xlpm.i,SUM(IF(_xlfn.UNIQUE(_xlfn.VSTACK(TEXT(_xlfn.MINIFS(_xlpm.z,_xlpm.x,_xlpm.y),_xlpm.k),TEXT(_xlfn.MAXIFS(_xlpm.z,_xlpm.x,_xlpm.i),_xlpm.k)))&lt;&gt;"",1,0)))))&gt;1,TEXT(_xlfn.MINIFS(_xlpm.z,_xlpm.x,_xlpm.j),_xlpm.k)&amp;" To "&amp;TEXT(_xlfn.MAXIFS(_xlpm.z,_xlpm.x,_xlpm.j),_xlpm.k),TEXT(_xlfn.MAXIFS(_xlpm.z,_xlpm.x,_xlpm.j),_xlpm.k))))</f>
        <v>2024-01-01 To 2024-01-04</v>
      </c>
      <c r="L15" s="6"/>
      <c r="M15" t="str" cm="1">
        <f t="array" aca="1" ref="M15:M19" ca="1">_xlfn.LET(_xlpm.k,"yyyy-mm-dd",_xlpm.x,_xlfn.ANCHORARRAY(I3),_xlpm.j,_xlfn.UNIQUE(_xlpm.x),_xlpm.z,A3:A15,(IF(_xlfn.MAP(_xlpm.j,_xlfn.LAMBDA(_xlpm.i,_xlfn.LET(_xlpm.y,_xlpm.i,SUM(IF(_xlfn.UNIQUE(_xlfn.VSTACK(TEXT(_xlfn.MINIFS(_xlpm.z,_xlpm.x,_xlpm.y),_xlpm.k),TEXT(_xlfn.MAXIFS(_xlpm.z,_xlpm.x,_xlpm.i),_xlpm.k)))&lt;&gt;"",1,0)))))&gt;1,TEXT(_xlfn.MINIFS(_xlpm.z,_xlpm.x,_xlpm.j),_xlpm.k)&amp;" To "&amp;TEXT(_xlfn.MAXIFS(_xlpm.z,_xlpm.x,_xlpm.j),_xlpm.k),TEXT(_xlfn.MAXIFS(_xlpm.z,_xlpm.x,_xlpm.j),_xlpm.k))))</f>
        <v>2024-01-01 To 2024-01-04</v>
      </c>
    </row>
    <row r="16" spans="1:21" x14ac:dyDescent="0.3">
      <c r="K16" t="str">
        <f ca="1"/>
        <v>2024-01-07 To 2024-01-09</v>
      </c>
      <c r="M16" t="str">
        <f ca="1"/>
        <v>2024-01-07 To 2024-01-09</v>
      </c>
    </row>
    <row r="17" spans="2:13" x14ac:dyDescent="0.3">
      <c r="K17" t="str">
        <f ca="1"/>
        <v>2024-01-13 To 2024-01-14</v>
      </c>
      <c r="M17" t="str">
        <f ca="1"/>
        <v>2024-01-13 To 2024-01-14</v>
      </c>
    </row>
    <row r="18" spans="2:13" x14ac:dyDescent="0.3">
      <c r="B18" t="str" cm="1">
        <f t="array" aca="1" ref="B18:C22" ca="1">_xlfn.LET(_xlpm.m,_xleta.MINIFS,_xlpm.l,_xleta.MAXIFS,_xlpm.k,"yyyy-mm-dd",_xlpm.x,_xlfn.ANCHORARRAY(C3),_xlpm.j,_xlfn.UNIQUE(_xlpm.x),_xlpm.z,A3:A15,_xlfn.HSTACK((IF(_xlfn.MAP(_xlpm.j,_xlfn.LAMBDA(_xlpm.i,_xlfn.LET(_xlpm.y,_xlpm.i,SUM(IF(_xlfn.UNIQUE(_xlfn.VSTACK(TEXT(_xlpm.m(_xlpm.z,_xlpm.x,_xlpm.y),_xlpm.k),TEXT(_xlpm.l(_xlpm.z,_xlpm.x,_xlpm.i),_xlpm.k)))&lt;&gt;"",1,0)))))&gt;1,TEXT(_xlpm.m(_xlpm.z,_xlpm.x,_xlpm.j),_xlpm.k)&amp;" To "&amp;TEXT(_xlpm.l(_xlpm.z,_xlpm.x,_xlpm.j),_xlpm.k),TEXT(_xlpm.l(_xlpm.z,_xlpm.x,_xlpm.j),_xlpm.k))),_xlfn.TAKE(_xlfn.GROUPBY(_xlpm.x,B3:B15,_xleta.SUM,,0),,-1)))</f>
        <v>2024-01-01 To 2024-01-04</v>
      </c>
      <c r="C18">
        <f ca="1"/>
        <v>238</v>
      </c>
      <c r="E18" t="str" cm="1">
        <f t="array" aca="1" ref="E18:F23" ca="1">_xlfn.LET(_xlpm.a,A3:A15,_xlpm.b,_xlfn.SCAN(,IF(IFERROR(--RIGHT(_xlpm.a,2)-(--RIGHT(OFFSET(_xlpm.a,-1,),2)),2)&gt;1,1,0),_xleta.SUM),_xlfn.VSTACK({"Date Range","Total"},_xlfn.HSTACK( _xlfn.BYROW(_xlfn.UNIQUE(_xlpm.b),_xlfn.LAMBDA(_xlpm.r,_xlfn.LET(_xlpm.x,_xlfn.ARRAYTOTEXT(_xlfn._xlws.FILTER(_xlpm.a,_xlpm.r=_xlpm.b)),IF(LEN(_xlpm.x)&gt;10,TRIM(_xlfn.TEXTBEFORE(_xlpm.x,",")&amp;" To "&amp;_xlfn.TEXTAFTER(_xlpm.x,",",-1)),_xlpm.x)))),_xlfn.BYROW(_xlfn.UNIQUE(_xlpm.b),_xlfn.LAMBDA(_xlpm.r,SUM(_xlfn._xlws.FILTER(B3:B15,_xlpm.r=_xlpm.b)))))))</f>
        <v>Date Range</v>
      </c>
      <c r="F18" t="str">
        <f ca="1"/>
        <v>Total</v>
      </c>
      <c r="K18" t="str">
        <f ca="1"/>
        <v>2024-01-17</v>
      </c>
      <c r="M18" t="str">
        <f ca="1"/>
        <v>2024-01-17</v>
      </c>
    </row>
    <row r="19" spans="2:13" x14ac:dyDescent="0.3">
      <c r="B19" t="str">
        <f ca="1"/>
        <v>2024-01-07 To 2024-01-09</v>
      </c>
      <c r="C19">
        <f ca="1"/>
        <v>200</v>
      </c>
      <c r="E19" t="str">
        <f ca="1"/>
        <v>45292 To 45295</v>
      </c>
      <c r="F19">
        <f ca="1"/>
        <v>238</v>
      </c>
      <c r="K19" t="str">
        <f ca="1"/>
        <v>2024-01-19 To 2024-01-21</v>
      </c>
      <c r="M19" t="str">
        <f ca="1"/>
        <v>2024-01-19 To 2024-01-21</v>
      </c>
    </row>
    <row r="20" spans="2:13" x14ac:dyDescent="0.3">
      <c r="B20" t="str">
        <f ca="1"/>
        <v>2024-01-13 To 2024-01-14</v>
      </c>
      <c r="C20">
        <f ca="1"/>
        <v>136</v>
      </c>
      <c r="E20" t="str">
        <f ca="1"/>
        <v>45298 To 45300</v>
      </c>
      <c r="F20">
        <f ca="1"/>
        <v>200</v>
      </c>
      <c r="J20" cm="1">
        <f t="array" aca="1" ref="J20:J24" ca="1">_xlfn.TAKE(_xlfn.GROUPBY(_xlfn.ANCHORARRAY(I3),B3:B15,_xleta.SUM,,0),,-1)</f>
        <v>238</v>
      </c>
    </row>
    <row r="21" spans="2:13" x14ac:dyDescent="0.3">
      <c r="B21" t="str">
        <f ca="1"/>
        <v>2024-01-17</v>
      </c>
      <c r="C21">
        <f ca="1"/>
        <v>59</v>
      </c>
      <c r="E21" t="str">
        <f ca="1"/>
        <v>45304 To 45305</v>
      </c>
      <c r="F21">
        <f ca="1"/>
        <v>136</v>
      </c>
      <c r="J21">
        <f ca="1"/>
        <v>200</v>
      </c>
    </row>
    <row r="22" spans="2:13" x14ac:dyDescent="0.3">
      <c r="B22" t="str">
        <f ca="1"/>
        <v>2024-01-19 To 2024-01-21</v>
      </c>
      <c r="C22">
        <f ca="1"/>
        <v>186</v>
      </c>
      <c r="E22" t="str">
        <f ca="1"/>
        <v>45308</v>
      </c>
      <c r="F22">
        <f ca="1"/>
        <v>59</v>
      </c>
      <c r="J22">
        <f ca="1"/>
        <v>136</v>
      </c>
    </row>
    <row r="23" spans="2:13" x14ac:dyDescent="0.3">
      <c r="E23" t="str">
        <f ca="1"/>
        <v>45310 To 45312</v>
      </c>
      <c r="F23">
        <f ca="1"/>
        <v>186</v>
      </c>
      <c r="J23">
        <f ca="1"/>
        <v>59</v>
      </c>
    </row>
    <row r="24" spans="2:13" x14ac:dyDescent="0.3">
      <c r="J24">
        <f ca="1"/>
        <v>186</v>
      </c>
    </row>
  </sheetData>
  <mergeCells count="3">
    <mergeCell ref="B1:C1"/>
    <mergeCell ref="K1:L1"/>
    <mergeCell ref="B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ABA5D-B422-40A8-9F66-652E20CF9504}">
  <dimension ref="A1:U22"/>
  <sheetViews>
    <sheetView tabSelected="1" workbookViewId="0">
      <selection activeCell="I19" sqref="I19"/>
    </sheetView>
  </sheetViews>
  <sheetFormatPr defaultRowHeight="14.4" x14ac:dyDescent="0.3"/>
  <cols>
    <col min="1" max="1" width="9.5546875" bestFit="1" customWidth="1"/>
    <col min="11" max="11" width="23" bestFit="1" customWidth="1"/>
    <col min="18" max="18" width="8.88671875" style="4"/>
  </cols>
  <sheetData>
    <row r="1" spans="1:21" x14ac:dyDescent="0.3">
      <c r="A1" s="1"/>
      <c r="B1" s="7"/>
      <c r="C1" s="7"/>
      <c r="D1" s="1"/>
      <c r="E1" s="1"/>
      <c r="F1" s="1"/>
      <c r="G1" s="1"/>
      <c r="H1" s="1"/>
      <c r="I1" s="1"/>
      <c r="J1" s="1"/>
      <c r="K1" s="8" t="s">
        <v>0</v>
      </c>
      <c r="L1" s="8"/>
    </row>
    <row r="2" spans="1:21" x14ac:dyDescent="0.3">
      <c r="A2" s="2" t="s">
        <v>1</v>
      </c>
      <c r="B2" s="9" t="s">
        <v>2</v>
      </c>
      <c r="C2" s="9"/>
      <c r="D2" s="2"/>
      <c r="E2" s="2"/>
      <c r="F2" s="2"/>
      <c r="G2" s="2"/>
      <c r="H2" s="2"/>
      <c r="I2" s="2"/>
      <c r="J2" s="2"/>
      <c r="K2" s="3" t="s">
        <v>3</v>
      </c>
      <c r="L2" s="3" t="s">
        <v>4</v>
      </c>
    </row>
    <row r="3" spans="1:21" x14ac:dyDescent="0.3">
      <c r="A3" s="5">
        <v>45292</v>
      </c>
      <c r="B3" s="10">
        <v>85</v>
      </c>
      <c r="C3" s="10">
        <v>1</v>
      </c>
      <c r="D3" s="6" t="b" cm="1">
        <f t="array" aca="1" ref="D3:D15" ca="1">A3:A15+1=OFFSET(A3:A15,1,)</f>
        <v>1</v>
      </c>
      <c r="E3" s="6" cm="1">
        <f t="array" aca="1" ref="E3:E15" ca="1">IF(_xlfn.ANCHORARRAY(D3),0,1)</f>
        <v>0</v>
      </c>
      <c r="F3" s="6" cm="1">
        <f t="array" aca="1" ref="F3:F15" ca="1">IF(_xlfn.ANCHORARRAY(D3),1,0)</f>
        <v>1</v>
      </c>
      <c r="G3" s="6" cm="1">
        <f t="array" aca="1" ref="G3:G15" ca="1">_xlfn.SCAN(0,_xlfn.ANCHORARRAY(E3),_xlfn.LAMBDA(_xlpm.a,_xlpm.b,SUM(_xlpm.a,_xlpm.b)))</f>
        <v>0</v>
      </c>
      <c r="H3" s="6" cm="1">
        <f t="array" aca="1" ref="H3:H15" ca="1">_xlfn.SCAN(0,_xlfn.ANCHORARRAY(E3),_xlfn.LAMBDA(_xlpm.a,_xlpm.b,SUM(_xlpm.a,_xlpm.b)))</f>
        <v>0</v>
      </c>
      <c r="I3" s="6" cm="1">
        <f t="array" aca="1" ref="I3:I15" ca="1">IF(_xlfn.ANCHORARRAY(F3)=0,_xlfn.ANCHORARRAY(G3),_xlfn.ANCHORARRAY(G3)+1)</f>
        <v>1</v>
      </c>
      <c r="J3" s="6"/>
      <c r="K3" s="6" t="s">
        <v>5</v>
      </c>
      <c r="L3" s="6">
        <v>186</v>
      </c>
      <c r="O3" cm="1">
        <f t="array" aca="1" ref="O3:O6" ca="1">_xlfn.UNIQUE(_xlfn.ANCHORARRAY(I3))</f>
        <v>1</v>
      </c>
      <c r="P3" cm="1">
        <f t="array" aca="1" ref="P3:Q6" ca="1">_xlfn.GROUPBY(_xlfn.ANCHORARRAY(I3),B3:B15,_xleta.SUM,,0)</f>
        <v>1</v>
      </c>
      <c r="Q3">
        <f ca="1"/>
        <v>186</v>
      </c>
      <c r="R3" s="4" t="str">
        <f ca="1">TEXT(_xlfn.MINIFS(A3:A15,_xlfn.ANCHORARRAY(I3),P3),"YYYY-MM-DD")&amp;" To "&amp;TEXT(_xlfn.MAXIFS(A3:A15,_xlfn.ANCHORARRAY(I3),P3),"yyyy-mm-dd")</f>
        <v>2024-01-01 To 2024-01-03</v>
      </c>
      <c r="U3" t="str" cm="1">
        <f t="array" aca="1" ref="U3:U6" ca="1">TEXT(_xlfn.MINIFS(A3:A15,_xlfn.ANCHORARRAY(I3),P3:P6),"YYYY-MM-DD")&amp;" To "&amp;TEXT(_xlfn.MAXIFS(A3:A15,_xlfn.ANCHORARRAY(I3),P3:P6),"yyyy-mm-dd")</f>
        <v>2024-01-01 To 2024-01-03</v>
      </c>
    </row>
    <row r="4" spans="1:21" x14ac:dyDescent="0.3">
      <c r="A4" s="5">
        <v>45293</v>
      </c>
      <c r="B4" s="10">
        <v>94</v>
      </c>
      <c r="C4" s="10">
        <v>1</v>
      </c>
      <c r="D4" s="6" t="b">
        <f ca="1"/>
        <v>1</v>
      </c>
      <c r="E4" s="6">
        <f ca="1"/>
        <v>0</v>
      </c>
      <c r="F4" s="6">
        <f ca="1"/>
        <v>1</v>
      </c>
      <c r="G4" s="6">
        <f ca="1"/>
        <v>0</v>
      </c>
      <c r="H4" s="6">
        <f ca="1"/>
        <v>0</v>
      </c>
      <c r="I4" s="6">
        <f ca="1"/>
        <v>1</v>
      </c>
      <c r="J4" s="6"/>
      <c r="K4" s="6" t="s">
        <v>6</v>
      </c>
      <c r="L4" s="6">
        <v>319</v>
      </c>
      <c r="O4">
        <f ca="1"/>
        <v>2</v>
      </c>
      <c r="P4">
        <f ca="1"/>
        <v>2</v>
      </c>
      <c r="Q4">
        <f ca="1"/>
        <v>319</v>
      </c>
      <c r="U4" t="str">
        <f ca="1"/>
        <v>2024-01-06 To 2024-01-10</v>
      </c>
    </row>
    <row r="5" spans="1:21" x14ac:dyDescent="0.3">
      <c r="A5" s="5">
        <v>45294</v>
      </c>
      <c r="B5" s="10">
        <v>7</v>
      </c>
      <c r="C5" s="10">
        <v>1</v>
      </c>
      <c r="D5" s="6" t="b">
        <f ca="1"/>
        <v>0</v>
      </c>
      <c r="E5" s="6">
        <f ca="1"/>
        <v>1</v>
      </c>
      <c r="F5" s="6">
        <f ca="1"/>
        <v>0</v>
      </c>
      <c r="G5" s="6">
        <f ca="1"/>
        <v>1</v>
      </c>
      <c r="H5" s="6">
        <f ca="1"/>
        <v>1</v>
      </c>
      <c r="I5" s="6">
        <f ca="1"/>
        <v>1</v>
      </c>
      <c r="J5" s="6"/>
      <c r="K5" s="5">
        <v>45305</v>
      </c>
      <c r="L5" s="6">
        <v>69</v>
      </c>
      <c r="O5">
        <f ca="1"/>
        <v>3</v>
      </c>
      <c r="P5">
        <f ca="1"/>
        <v>3</v>
      </c>
      <c r="Q5">
        <f ca="1"/>
        <v>69</v>
      </c>
      <c r="U5" t="str">
        <f ca="1"/>
        <v>2024-01-14 To 2024-01-14</v>
      </c>
    </row>
    <row r="6" spans="1:21" x14ac:dyDescent="0.3">
      <c r="A6" s="5">
        <v>45297</v>
      </c>
      <c r="B6" s="10">
        <v>52</v>
      </c>
      <c r="C6" s="10">
        <v>2</v>
      </c>
      <c r="D6" s="6" t="b">
        <f ca="1"/>
        <v>1</v>
      </c>
      <c r="E6" s="6">
        <f ca="1"/>
        <v>0</v>
      </c>
      <c r="F6" s="6">
        <f ca="1"/>
        <v>1</v>
      </c>
      <c r="G6" s="6">
        <f ca="1"/>
        <v>1</v>
      </c>
      <c r="H6" s="6">
        <f ca="1"/>
        <v>1</v>
      </c>
      <c r="I6" s="6">
        <f ca="1"/>
        <v>2</v>
      </c>
      <c r="J6" s="6"/>
      <c r="K6" s="6" t="s">
        <v>7</v>
      </c>
      <c r="L6" s="6">
        <v>245</v>
      </c>
      <c r="O6">
        <f ca="1"/>
        <v>4</v>
      </c>
      <c r="P6">
        <f ca="1"/>
        <v>4</v>
      </c>
      <c r="Q6">
        <f ca="1"/>
        <v>245</v>
      </c>
      <c r="U6" t="str">
        <f ca="1"/>
        <v>2024-01-18 To 2024-01-21</v>
      </c>
    </row>
    <row r="7" spans="1:21" x14ac:dyDescent="0.3">
      <c r="A7" s="5">
        <v>45298</v>
      </c>
      <c r="B7" s="10">
        <v>67</v>
      </c>
      <c r="C7" s="10">
        <v>2</v>
      </c>
      <c r="D7" s="6" t="b">
        <f ca="1"/>
        <v>1</v>
      </c>
      <c r="E7" s="6">
        <f ca="1"/>
        <v>0</v>
      </c>
      <c r="F7" s="6">
        <f ca="1"/>
        <v>1</v>
      </c>
      <c r="G7" s="6">
        <f ca="1"/>
        <v>1</v>
      </c>
      <c r="H7" s="6">
        <f ca="1"/>
        <v>1</v>
      </c>
      <c r="I7" s="6">
        <f ca="1"/>
        <v>2</v>
      </c>
      <c r="J7" s="6"/>
      <c r="K7" s="6"/>
      <c r="L7" s="6"/>
    </row>
    <row r="8" spans="1:21" x14ac:dyDescent="0.3">
      <c r="A8" s="5">
        <v>45299</v>
      </c>
      <c r="B8" s="10">
        <v>84</v>
      </c>
      <c r="C8" s="10">
        <v>2</v>
      </c>
      <c r="D8" s="6" t="b">
        <f ca="1"/>
        <v>1</v>
      </c>
      <c r="E8" s="6">
        <f ca="1"/>
        <v>0</v>
      </c>
      <c r="F8" s="6">
        <f ca="1"/>
        <v>1</v>
      </c>
      <c r="G8" s="6">
        <f ca="1"/>
        <v>1</v>
      </c>
      <c r="H8" s="6">
        <f ca="1"/>
        <v>1</v>
      </c>
      <c r="I8" s="6">
        <f ca="1"/>
        <v>2</v>
      </c>
      <c r="J8" s="6"/>
      <c r="K8" s="6"/>
      <c r="L8" s="6"/>
      <c r="Q8" cm="1">
        <f t="array" aca="1" ref="Q8" ca="1">SUM(IF(_xlfn.UNIQUE(_xlfn.VSTACK(TEXT(_xlfn.MINIFS(A3:A15,_xlfn.ANCHORARRAY(I3),P3),"YYYY-MM-DD"),TEXT(_xlfn.MAXIFS(A3:A15,_xlfn.ANCHORARRAY(I3),P3),"yyyy-mm-dd")))&lt;&gt;"",1,0))</f>
        <v>2</v>
      </c>
      <c r="S8" s="11" t="str" cm="1">
        <f t="array" aca="1" ref="S8:S11" ca="1">IF(_xlfn.MAP(P3:P6,_xlfn.LAMBDA(_xlpm.i,_xlfn.LET(_xlpm.x,_xlfn.ANCHORARRAY(I3),_xlpm.y,_xlpm.i,_xlpm.z,A3:A15,SUM(IF(_xlfn.UNIQUE(_xlfn.VSTACK(TEXT(_xlfn.MINIFS(_xlpm.z,_xlpm.x,_xlpm.y),"YYYY-MM-DD"),TEXT(_xlfn.MAXIFS(_xlpm.z,_xlpm.x,_xlpm.y),"yyyy-mm-dd")))&lt;&gt;"",1,0)))))&gt;1,_xlfn.ANCHORARRAY(U3),TEXT(_xlfn.MAXIFS(A3:A15,_xlfn.ANCHORARRAY(I3),P3:P6),"yyyy-mm-dd"))</f>
        <v>2024-01-01 To 2024-01-03</v>
      </c>
    </row>
    <row r="9" spans="1:21" x14ac:dyDescent="0.3">
      <c r="A9" s="5">
        <v>45300</v>
      </c>
      <c r="B9" s="10">
        <v>49</v>
      </c>
      <c r="C9" s="10">
        <v>2</v>
      </c>
      <c r="D9" s="6" t="b">
        <f ca="1"/>
        <v>1</v>
      </c>
      <c r="E9" s="6">
        <f ca="1"/>
        <v>0</v>
      </c>
      <c r="F9" s="6">
        <f ca="1"/>
        <v>1</v>
      </c>
      <c r="G9" s="6">
        <f ca="1"/>
        <v>1</v>
      </c>
      <c r="H9" s="6">
        <f ca="1"/>
        <v>1</v>
      </c>
      <c r="I9" s="6">
        <f ca="1"/>
        <v>2</v>
      </c>
      <c r="J9" s="6"/>
      <c r="K9" s="6"/>
      <c r="L9" s="6"/>
      <c r="S9" t="str">
        <f ca="1"/>
        <v>2024-01-06 To 2024-01-10</v>
      </c>
    </row>
    <row r="10" spans="1:21" x14ac:dyDescent="0.3">
      <c r="A10" s="5">
        <v>45301</v>
      </c>
      <c r="B10" s="10">
        <v>67</v>
      </c>
      <c r="C10" s="10">
        <v>2</v>
      </c>
      <c r="D10" s="6" t="b">
        <f ca="1"/>
        <v>0</v>
      </c>
      <c r="E10" s="6">
        <f ca="1"/>
        <v>1</v>
      </c>
      <c r="F10" s="6">
        <f ca="1"/>
        <v>0</v>
      </c>
      <c r="G10" s="6">
        <f ca="1"/>
        <v>2</v>
      </c>
      <c r="H10" s="6">
        <f ca="1"/>
        <v>2</v>
      </c>
      <c r="I10" s="6">
        <f ca="1"/>
        <v>2</v>
      </c>
      <c r="J10" s="6"/>
      <c r="K10" s="6" cm="1">
        <f t="array" aca="1" ref="K10:K22" ca="1">IF(_xlfn.ANCHORARRAY(G3)=0,_xlfn.ANCHORARRAY(F3),_xlfn.ANCHORARRAY(G3)+1)</f>
        <v>1</v>
      </c>
      <c r="L10" s="6"/>
      <c r="S10" t="str">
        <f ca="1"/>
        <v>2024-01-14</v>
      </c>
    </row>
    <row r="11" spans="1:21" x14ac:dyDescent="0.3">
      <c r="A11" s="5">
        <v>45305</v>
      </c>
      <c r="B11" s="10">
        <v>69</v>
      </c>
      <c r="C11" s="10">
        <v>3</v>
      </c>
      <c r="D11" s="6" t="b">
        <f ca="1"/>
        <v>0</v>
      </c>
      <c r="E11" s="6">
        <f ca="1"/>
        <v>1</v>
      </c>
      <c r="F11" s="6">
        <f ca="1"/>
        <v>0</v>
      </c>
      <c r="G11" s="6">
        <f ca="1"/>
        <v>3</v>
      </c>
      <c r="H11" s="6">
        <f ca="1"/>
        <v>3</v>
      </c>
      <c r="I11" s="6">
        <f ca="1"/>
        <v>3</v>
      </c>
      <c r="J11" s="6"/>
      <c r="K11" s="6">
        <f ca="1"/>
        <v>1</v>
      </c>
      <c r="L11" s="6"/>
      <c r="S11" t="str">
        <f ca="1"/>
        <v>2024-01-18 To 2024-01-21</v>
      </c>
    </row>
    <row r="12" spans="1:21" x14ac:dyDescent="0.3">
      <c r="A12" s="5">
        <v>45309</v>
      </c>
      <c r="B12" s="10">
        <v>59</v>
      </c>
      <c r="C12" s="10">
        <v>4</v>
      </c>
      <c r="D12" s="6" t="b">
        <f ca="1"/>
        <v>1</v>
      </c>
      <c r="E12" s="6">
        <f ca="1"/>
        <v>0</v>
      </c>
      <c r="F12" s="6">
        <f ca="1"/>
        <v>1</v>
      </c>
      <c r="G12" s="6">
        <f ca="1"/>
        <v>3</v>
      </c>
      <c r="H12" s="6">
        <f ca="1"/>
        <v>3</v>
      </c>
      <c r="I12" s="6">
        <f ca="1"/>
        <v>4</v>
      </c>
      <c r="J12" s="6"/>
      <c r="K12" s="6">
        <f ca="1"/>
        <v>2</v>
      </c>
      <c r="L12" s="6"/>
    </row>
    <row r="13" spans="1:21" x14ac:dyDescent="0.3">
      <c r="A13" s="5">
        <v>45310</v>
      </c>
      <c r="B13" s="10">
        <v>76</v>
      </c>
      <c r="C13" s="10">
        <v>4</v>
      </c>
      <c r="D13" s="6" t="b">
        <f ca="1"/>
        <v>1</v>
      </c>
      <c r="E13" s="6">
        <f ca="1"/>
        <v>0</v>
      </c>
      <c r="F13" s="6">
        <f ca="1"/>
        <v>1</v>
      </c>
      <c r="G13" s="6">
        <f ca="1"/>
        <v>3</v>
      </c>
      <c r="H13" s="6">
        <f ca="1"/>
        <v>3</v>
      </c>
      <c r="I13" s="6">
        <f ca="1"/>
        <v>4</v>
      </c>
      <c r="J13" s="6"/>
      <c r="K13" s="6">
        <f ca="1"/>
        <v>2</v>
      </c>
      <c r="L13" s="6"/>
    </row>
    <row r="14" spans="1:21" x14ac:dyDescent="0.3">
      <c r="A14" s="5">
        <v>45311</v>
      </c>
      <c r="B14" s="10">
        <v>32</v>
      </c>
      <c r="C14" s="10">
        <v>4</v>
      </c>
      <c r="D14" s="6" t="b">
        <f ca="1"/>
        <v>1</v>
      </c>
      <c r="E14" s="6">
        <f ca="1"/>
        <v>0</v>
      </c>
      <c r="F14" s="6">
        <f ca="1"/>
        <v>1</v>
      </c>
      <c r="G14" s="6">
        <f ca="1"/>
        <v>3</v>
      </c>
      <c r="H14" s="6">
        <f ca="1"/>
        <v>3</v>
      </c>
      <c r="I14" s="6">
        <f ca="1"/>
        <v>4</v>
      </c>
      <c r="J14" s="6"/>
      <c r="K14" s="6">
        <f ca="1"/>
        <v>2</v>
      </c>
      <c r="L14" s="6"/>
    </row>
    <row r="15" spans="1:21" x14ac:dyDescent="0.3">
      <c r="A15" s="5">
        <v>45312</v>
      </c>
      <c r="B15" s="10">
        <v>78</v>
      </c>
      <c r="C15" s="10">
        <v>4</v>
      </c>
      <c r="D15" s="6" t="b">
        <f ca="1"/>
        <v>0</v>
      </c>
      <c r="E15" s="6">
        <f ca="1"/>
        <v>1</v>
      </c>
      <c r="F15" s="6">
        <f ca="1"/>
        <v>0</v>
      </c>
      <c r="G15" s="6">
        <f ca="1"/>
        <v>4</v>
      </c>
      <c r="H15" s="6">
        <f ca="1"/>
        <v>4</v>
      </c>
      <c r="I15" s="6">
        <f ca="1"/>
        <v>4</v>
      </c>
      <c r="J15" s="6"/>
      <c r="K15" s="6">
        <f ca="1"/>
        <v>2</v>
      </c>
      <c r="L15" s="6"/>
    </row>
    <row r="16" spans="1:21" x14ac:dyDescent="0.3">
      <c r="K16">
        <f ca="1"/>
        <v>2</v>
      </c>
    </row>
    <row r="17" spans="11:11" x14ac:dyDescent="0.3">
      <c r="K17">
        <f ca="1"/>
        <v>3</v>
      </c>
    </row>
    <row r="18" spans="11:11" x14ac:dyDescent="0.3">
      <c r="K18">
        <f ca="1"/>
        <v>4</v>
      </c>
    </row>
    <row r="19" spans="11:11" x14ac:dyDescent="0.3">
      <c r="K19">
        <f ca="1"/>
        <v>4</v>
      </c>
    </row>
    <row r="20" spans="11:11" x14ac:dyDescent="0.3">
      <c r="K20">
        <f ca="1"/>
        <v>4</v>
      </c>
    </row>
    <row r="21" spans="11:11" x14ac:dyDescent="0.3">
      <c r="K21">
        <f ca="1"/>
        <v>4</v>
      </c>
    </row>
    <row r="22" spans="11:11" x14ac:dyDescent="0.3">
      <c r="K22">
        <f ca="1"/>
        <v>5</v>
      </c>
    </row>
  </sheetData>
  <mergeCells count="3">
    <mergeCell ref="B1:C1"/>
    <mergeCell ref="K1:L1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Sheet1 (2)</vt:lpstr>
      <vt:lpstr>Sheet1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Tolga Demirci</dc:creator>
  <cp:lastModifiedBy>Tolga Demirci</cp:lastModifiedBy>
  <dcterms:created xsi:type="dcterms:W3CDTF">2025-10-13T11:40:21Z</dcterms:created>
  <dcterms:modified xsi:type="dcterms:W3CDTF">2025-10-13T14:35:29Z</dcterms:modified>
</cp:coreProperties>
</file>